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8ABC2A-DDED-4AE8-BE66-9FBBB9F1F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D-KTV-H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2" l="1"/>
  <c r="E94" i="2"/>
  <c r="E95" i="2" s="1"/>
  <c r="E96" i="2" s="1"/>
  <c r="D94" i="2"/>
  <c r="D96" i="2" s="1"/>
</calcChain>
</file>

<file path=xl/sharedStrings.xml><?xml version="1.0" encoding="utf-8"?>
<sst xmlns="http://schemas.openxmlformats.org/spreadsheetml/2006/main" count="191" uniqueCount="135">
  <si>
    <t>STT</t>
  </si>
  <si>
    <t>THANG ĐIỂM</t>
  </si>
  <si>
    <t>NV TỰ CHẤM</t>
  </si>
  <si>
    <t>Không có sai sót nghiêm trọng,có phát hiện/báo cáo kịp thời nguy cơ hoặc sự cố nhẹ, phối hợp khắc phục tốt</t>
  </si>
  <si>
    <t>Có sai sót nhẹ, đã báo cáo, khắc phục kịp thời, không tái diễn</t>
  </si>
  <si>
    <t>Có sai sót lặp lại hoặc ảnh hưởng NB mức độ trung bình trở lên</t>
  </si>
  <si>
    <t>TỔNG ĐIỂM (công thức tự động)</t>
  </si>
  <si>
    <t>XẾP LOẠI (công thức tự động)</t>
  </si>
  <si>
    <t>≥ 90</t>
  </si>
  <si>
    <t>Xét tăng lương sớm</t>
  </si>
  <si>
    <t>Tốt</t>
  </si>
  <si>
    <t>Khá</t>
  </si>
  <si>
    <t>&lt; 65</t>
  </si>
  <si>
    <t>Chưa đạt</t>
  </si>
  <si>
    <t>BẢNG ĐÁNH GIÁ KẾT QUẢ LÀM VIỆC THÁNG…...NĂM 2026
(Áp dụng đối với CBNV không làm quản lý)</t>
  </si>
  <si>
    <t>Họ và tên người được đánh giá:…………………</t>
  </si>
  <si>
    <t>Chức danh: ……….</t>
  </si>
  <si>
    <t>Khoa/ phòng: ……….</t>
  </si>
  <si>
    <t>A. ĐÁNH GIÁ HÀNG THÁNG (70 ĐIỂM): KHOA PHÒNG ĐÁNH GIÁ</t>
  </si>
  <si>
    <t>TIÊU CHÍ</t>
  </si>
  <si>
    <t>KHOA PHÒNG CHẤM</t>
  </si>
  <si>
    <t>Trưởng khoa</t>
  </si>
  <si>
    <t>ĐDT</t>
  </si>
  <si>
    <t>I. Tuân thủ nội quy (15 điểm)</t>
  </si>
  <si>
    <t>Giờ giấc làm việc (5 điểm)</t>
  </si>
  <si>
    <t>-</t>
  </si>
  <si>
    <t>Đi làm đúng giờ, không bỏ ca, đủ công</t>
  </si>
  <si>
    <t>Đi muộn ≤ 2 lần/tháng (≤ 5 phút)</t>
  </si>
  <si>
    <t>Đi muộn 3-4 lần/tháng</t>
  </si>
  <si>
    <t>&gt; 4 lần hoặc bỏ ca không báo trước hoặc thiếu công</t>
  </si>
  <si>
    <t>Thực hiện đúng quy định trang phục, bảng tên (5 điểm)</t>
  </si>
  <si>
    <t>Đồng phục sạch, đúng quy định, bảng tên đầy đủ</t>
  </si>
  <si>
    <t>Vi phạm ≤ 2 lần/tháng</t>
  </si>
  <si>
    <t>Vi phạm 3-4 lần/tháng</t>
  </si>
  <si>
    <t>&gt; 4 lần</t>
  </si>
  <si>
    <t>Kỷ luật trong giờ làm việc (5điểm)</t>
  </si>
  <si>
    <t>Không sử dụng điện thoại di động mục đích cá nhân, ăn uống trong giờ làm việc khi có NB/KH, tuân thủ vị trí làm việc. Nếu cần dùng điện thoại phải xin phép NB/KH.</t>
  </si>
  <si>
    <t>Có sử dụng điện thoại cho mục đích cá nhân, ăn uống trong giờ làm việc khi có NB/KH, rời vị trí làm việc đã nhắc nhở lần 1, đã khắc phục.</t>
  </si>
  <si>
    <t>II. Chuyên môn – an toàn người bệnh (20 điểm)</t>
  </si>
  <si>
    <t>Ghi chép &amp; cập nhật bệnh án điện tử (EMR) – 5 điểm</t>
  </si>
  <si>
    <t>Nhập liệu đầy đủ, đúng thời gian, đúng biểu mẫu</t>
  </si>
  <si>
    <t>Thiếu sót nhẹ, được nhắc và khắc phục trong ngày</t>
  </si>
  <si>
    <t>Nhập thiếu nhiều lần, sai biểu mẫu</t>
  </si>
  <si>
    <t>Sai sót chuyên môn và báo cáo sự cố (5 điểm)</t>
  </si>
  <si>
    <t xml:space="preserve">III.  </t>
  </si>
  <si>
    <t>Vận hành - 5S - KSNK (10 điểm)</t>
  </si>
  <si>
    <t>Vệ sinh, kiểm tra, sử dụng, bảo vệ tài sản trang thiết bị  VTYT, máy móc, cơ sở vật chất tại khoa tốt, không gây thất thoát, hư hỏng do chủ quan</t>
  </si>
  <si>
    <t>Có kiểm tra, không đồng đều, nhắc nhở lần 1, đã khắc phục.</t>
  </si>
  <si>
    <t>Không thực hiện, gây hỏng hóc, thất thoát do chủ quan</t>
  </si>
  <si>
    <t>Thực hiện 5S (3 điểm)</t>
  </si>
  <si>
    <t>Thực hiện tốt, ngăn nắp, gọn gàng</t>
  </si>
  <si>
    <t>Có thực hiện nhưng chưa tốt</t>
  </si>
  <si>
    <t>Không thực hiện</t>
  </si>
  <si>
    <t>Tuân thủ KSNK theo vị trí việc làm (4 điểm)</t>
  </si>
  <si>
    <t>Không tuân thủ hoặc sai sót tái diễn ≥ 2 lần</t>
  </si>
  <si>
    <t>Giao tiếp với NB (10 điểm)</t>
  </si>
  <si>
    <t>Không có phàn nàn của NB, có thư khen (đã xác minh), NB đánh giá tốt.</t>
  </si>
  <si>
    <t>NB có góp ý nhẹ lần 1, đã tiếp thu và khắc phục</t>
  </si>
  <si>
    <t>Có phàn nàn, khiếu nại từ NB &gt;1 lần, không khắc phục</t>
  </si>
  <si>
    <t>Giao tiếp với đồng nghiệp (5 điểm)</t>
  </si>
  <si>
    <t>Lịch sự, tôn trọng, đúng cấp bậc</t>
  </si>
  <si>
    <t>Giao tiếp chưa phù hợp, đã góp ý và cải thiện</t>
  </si>
  <si>
    <t>Gây xung đột, thiếu tôn trọng</t>
  </si>
  <si>
    <t xml:space="preserve">Lưu ý:  </t>
  </si>
  <si>
    <t>Thái độ làm việc (5 điểm)</t>
  </si>
  <si>
    <t>Chấp hành theo sự phân công của trưởng khoa và điều dưỡng trưởng, hỗ trợ đồng nghiệp</t>
  </si>
  <si>
    <t xml:space="preserve">Không chấp hành </t>
  </si>
  <si>
    <t>V.</t>
  </si>
  <si>
    <t>Tham gia đầy đủ đào tạo nội bộ BV, đào tạo CME tại khoa phòng (5 điểm)</t>
  </si>
  <si>
    <t>Tham gia 100% đầy đủ, đúng giờ hoặc không tham gia đủ buổi theo sự sắp xếp của khoa phòng (có xác nhận của trưởng khoa)</t>
  </si>
  <si>
    <t>Không tham gia</t>
  </si>
  <si>
    <t>VI. Điểm thưởng (12 Điểm)</t>
  </si>
  <si>
    <t>Nâng hạng xếp loại hoặc xếp loại xuất sắc liền kề 2 tháng liên tiếp</t>
  </si>
  <si>
    <t>Có sáng kiến đóng góp cho sự phát triển khoa phòng (có xác nhận của khoa phòng và bệnh viện)</t>
  </si>
  <si>
    <t>Có thư khen (khoa phòng xác nhận)</t>
  </si>
  <si>
    <t xml:space="preserve">B. ĐÁNH GIÁ THEO THÁNG / NĂM (30  ĐIỂM ): HỘI ĐỒNG </t>
  </si>
  <si>
    <t>Kiến thức giao tiếp – AIDET (5 điểm)</t>
  </si>
  <si>
    <t xml:space="preserve">II. Đánh giá kỹ năng thực hành (20 điểm) </t>
  </si>
  <si>
    <t>Xử lý tình huống thực tế, tuân thủ AIDET (5 điểm)</t>
  </si>
  <si>
    <t>Xử lý đúng, giao tiếp phù hợp, tuân thủ AIDET</t>
  </si>
  <si>
    <t>Cần gợi ý</t>
  </si>
  <si>
    <t>Xử lý sai</t>
  </si>
  <si>
    <t>TỔNG (chạy công thức tự động)</t>
  </si>
  <si>
    <t>C. THANG ĐIỂM &amp; ĐIỀU KIỆN TĂNG LƯƠNG SỚM</t>
  </si>
  <si>
    <t xml:space="preserve"> Tổng điểm tối đa: 100 điểm</t>
  </si>
  <si>
    <t>Mức điểm</t>
  </si>
  <si>
    <t>Xếp loại</t>
  </si>
  <si>
    <t>Đề xuất</t>
  </si>
  <si>
    <t xml:space="preserve">Xuất sắc </t>
  </si>
  <si>
    <t>80 – 89</t>
  </si>
  <si>
    <t>Ưu tiên, 
theo dõi</t>
  </si>
  <si>
    <t>65 – 79</t>
  </si>
  <si>
    <t>Chưa xét</t>
  </si>
  <si>
    <t>Đào tạo lại</t>
  </si>
  <si>
    <t xml:space="preserve"> D. ĐIỀU KIỆN BẮT BUỘC</t>
  </si>
  <si>
    <t>Đạt loại Tốt trở lên liên tục ≥ 6–12 tháng</t>
  </si>
  <si>
    <t>Không vi phạm kỷ luật</t>
  </si>
  <si>
    <t xml:space="preserve">Không có sai sót chuyên môn </t>
  </si>
  <si>
    <t>Có xác nhận của Trưởng khoa &amp; Điều dưỡng trưởng</t>
  </si>
  <si>
    <t>E. NGUYÊN TẮC ĐẢM BẢO CÔNG BẰNG GIỮA CÁC KHOA</t>
  </si>
  <si>
    <t>Dùng cùng checklist</t>
  </si>
  <si>
    <t>Không so sánh khối lượng bệnh nhân</t>
  </si>
  <si>
    <t>F. NGUYÊN TẮC CHUNG KHI CHẤM ĐIỂM</t>
  </si>
  <si>
    <t>Chấm theo tiêu chí – không theo cảm nhận</t>
  </si>
  <si>
    <t>Có minh chứng khi trừ điểm</t>
  </si>
  <si>
    <t>Không so sánh giữa các cá nhân</t>
  </si>
  <si>
    <t>Không điều chỉnh điểm để “cân bằng nội bộ”</t>
  </si>
  <si>
    <t>Chấm độc lập, trung thực</t>
  </si>
  <si>
    <t>Thực hành quy trình kỹ thuật chuyên môn 
(15 điểm):</t>
  </si>
  <si>
    <t>Thực hiện kỹ thuật chuyên môn (10 điểm)</t>
  </si>
  <si>
    <t>Đảm bảo KSNK, tuân thủ tốt ( vệ sinh tay, phân loại rác, vô khuẩn, phương tiện phòng hộ..)</t>
  </si>
  <si>
    <t>Thực hiện KSNK còn sai sót, được nhắc nhở lần 1, đã khắc phục</t>
  </si>
  <si>
    <t>Có sử dụng điện thoại cho mục đích cá nhân, ăn uống trong giờ làm việc khi có NB/KH, rời vị trí làm việc đã nhắc nhở ≥ 2 lần.</t>
  </si>
  <si>
    <t>Kiểm tra, sử dụng, bảo vệ tài sản trang thiết bị (3 Điểm)</t>
  </si>
  <si>
    <t>Tham gia hoạt động phong trào , hoạt động xã hội</t>
  </si>
  <si>
    <t>≥ 90%  câu trả lời đúng</t>
  </si>
  <si>
    <t>80–89% câu trả lời đúng</t>
  </si>
  <si>
    <t>65–79% câu trả lời đúng</t>
  </si>
  <si>
    <t>&lt; 65% câu trả lời đúng</t>
  </si>
  <si>
    <t>≥ 80% câu trả lời đúng đúng</t>
  </si>
  <si>
    <t>65–79% câu trả lời đúng đúng</t>
  </si>
  <si>
    <t>&lt; 65% câu trả lời đúng đúng</t>
  </si>
  <si>
    <t>Đúng ≥ 90% các bước quy trình kỹ thuật</t>
  </si>
  <si>
    <t>Làm được  ≥95% các kỹ  thuật  chuyên môn khi chăm sóc bệnh tại khoa.</t>
  </si>
  <si>
    <t>Làm được 80–94% các kỹ  thuật  chuyên môn khi chăm sóc bệnh tại khoa.</t>
  </si>
  <si>
    <t>Làm được 60–79% các kỹ  thuật  chuyên môn khi chăm sóc bệnh tại khoa.</t>
  </si>
  <si>
    <t>Làm được &lt; 60% các kỹ  thuật  chuyên môn khi chăm sóc bệnh tại khoa.</t>
  </si>
  <si>
    <t>IV. Giao tiếp NB, thái độ làm việc (20 điểm)</t>
  </si>
  <si>
    <t>Kiến thức chuyên môn cơ bản, an toàn người bệnh &amp; KSNK (5 điểm)</t>
  </si>
  <si>
    <t>I.  Kiểm tra kiến thức – kỹ năng chuyên môn (10 điểm, vấn đáp )</t>
  </si>
  <si>
    <t>Có phàn nàn, khiếu nại từ NB đăng lên mạng XH (có xác nhận của đồng nghiệp) thì không xét điểm tăng lương trong tháng này</t>
  </si>
  <si>
    <t>Đúng 75%–89% các bước quy trình kỹ thuật</t>
  </si>
  <si>
    <t>Đúng 65%- 74% các bước quy trình kỹ thuật</t>
  </si>
  <si>
    <t>&lt; 65% các bước quy trình kỹ thuật</t>
  </si>
  <si>
    <t>PHỤ LỤC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</si>
</sst>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8080"/>
      <name val="Times New Roman"/>
      <family val="1"/>
    </font>
    <font>
      <i/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i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57A9A5"/>
        <bgColor indexed="64"/>
      </patternFill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6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4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53340</xdr:rowOff>
    </xdr:from>
    <xdr:to>
      <xdr:col>1</xdr:col>
      <xdr:colOff>6349</xdr:colOff>
      <xdr:row>1</xdr:row>
      <xdr:rowOff>361160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3340"/>
          <a:ext cx="579119" cy="564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"/>
  <sheetViews>
    <sheetView tabSelected="1" zoomScaleNormal="100" workbookViewId="0">
      <selection activeCell="L7" sqref="L7"/>
    </sheetView>
  </sheetViews>
  <sheetFormatPr defaultRowHeight="14.4" x14ac:dyDescent="0.3"/>
  <cols>
    <col min="1" max="1" width="9.109375" customWidth="1"/>
    <col min="2" max="2" width="55.6640625" customWidth="1"/>
    <col min="3" max="3" width="11.6640625" customWidth="1"/>
    <col min="4" max="4" width="10.44140625" customWidth="1"/>
    <col min="5" max="5" width="10.33203125" customWidth="1"/>
    <col min="6" max="6" width="9.6640625" customWidth="1"/>
  </cols>
  <sheetData>
    <row r="1" spans="1:6" ht="20.399999999999999" x14ac:dyDescent="0.35">
      <c r="A1" s="12"/>
      <c r="B1" s="42" t="s">
        <v>134</v>
      </c>
      <c r="C1" s="42"/>
      <c r="D1" s="42"/>
      <c r="E1" s="13"/>
      <c r="F1" s="13"/>
    </row>
    <row r="2" spans="1:6" ht="30.75" customHeight="1" x14ac:dyDescent="0.35">
      <c r="A2" s="12"/>
      <c r="B2" s="14"/>
      <c r="C2" s="14"/>
      <c r="D2" s="14"/>
      <c r="E2" s="13"/>
      <c r="F2" s="13"/>
    </row>
    <row r="3" spans="1:6" ht="54" customHeight="1" x14ac:dyDescent="0.3">
      <c r="A3" s="43" t="s">
        <v>14</v>
      </c>
      <c r="B3" s="43"/>
      <c r="C3" s="43"/>
      <c r="D3" s="43"/>
      <c r="E3" s="43"/>
      <c r="F3" s="43"/>
    </row>
    <row r="4" spans="1:6" ht="18" x14ac:dyDescent="0.3">
      <c r="A4" s="44" t="s">
        <v>15</v>
      </c>
      <c r="B4" s="45"/>
      <c r="C4" s="15"/>
      <c r="D4" s="16"/>
      <c r="E4" s="16"/>
      <c r="F4" s="16"/>
    </row>
    <row r="5" spans="1:6" ht="18" x14ac:dyDescent="0.3">
      <c r="A5" s="44" t="s">
        <v>16</v>
      </c>
      <c r="B5" s="45"/>
      <c r="C5" s="15"/>
      <c r="D5" s="16"/>
      <c r="E5" s="16"/>
      <c r="F5" s="16"/>
    </row>
    <row r="6" spans="1:6" ht="18" x14ac:dyDescent="0.3">
      <c r="A6" s="46" t="s">
        <v>17</v>
      </c>
      <c r="B6" s="47"/>
      <c r="C6" s="17"/>
      <c r="D6" s="18"/>
      <c r="E6" s="16"/>
      <c r="F6" s="16"/>
    </row>
    <row r="7" spans="1:6" ht="17.399999999999999" x14ac:dyDescent="0.3">
      <c r="A7" s="41" t="s">
        <v>18</v>
      </c>
      <c r="B7" s="41"/>
      <c r="C7" s="41"/>
      <c r="D7" s="41"/>
      <c r="E7" s="41"/>
      <c r="F7" s="41"/>
    </row>
    <row r="8" spans="1:6" ht="17.399999999999999" x14ac:dyDescent="0.3">
      <c r="A8" s="49" t="s">
        <v>0</v>
      </c>
      <c r="B8" s="49" t="s">
        <v>19</v>
      </c>
      <c r="C8" s="49" t="s">
        <v>1</v>
      </c>
      <c r="D8" s="49" t="s">
        <v>2</v>
      </c>
      <c r="E8" s="49" t="s">
        <v>20</v>
      </c>
      <c r="F8" s="49"/>
    </row>
    <row r="9" spans="1:6" ht="34.799999999999997" x14ac:dyDescent="0.3">
      <c r="A9" s="49"/>
      <c r="B9" s="49"/>
      <c r="C9" s="49"/>
      <c r="D9" s="49"/>
      <c r="E9" s="19" t="s">
        <v>21</v>
      </c>
      <c r="F9" s="19" t="s">
        <v>22</v>
      </c>
    </row>
    <row r="10" spans="1:6" ht="18" x14ac:dyDescent="0.3">
      <c r="A10" s="50" t="s">
        <v>23</v>
      </c>
      <c r="B10" s="50"/>
      <c r="C10" s="3"/>
      <c r="D10" s="16"/>
      <c r="E10" s="16"/>
      <c r="F10" s="16"/>
    </row>
    <row r="11" spans="1:6" ht="18" x14ac:dyDescent="0.3">
      <c r="A11" s="8">
        <v>1</v>
      </c>
      <c r="B11" s="20" t="s">
        <v>24</v>
      </c>
      <c r="C11" s="8"/>
      <c r="D11" s="20"/>
      <c r="E11" s="20"/>
      <c r="F11" s="20"/>
    </row>
    <row r="12" spans="1:6" ht="18" x14ac:dyDescent="0.3">
      <c r="A12" s="3" t="s">
        <v>25</v>
      </c>
      <c r="B12" s="16" t="s">
        <v>26</v>
      </c>
      <c r="C12" s="3">
        <v>5</v>
      </c>
      <c r="D12" s="16"/>
      <c r="E12" s="16"/>
      <c r="F12" s="16"/>
    </row>
    <row r="13" spans="1:6" ht="18" x14ac:dyDescent="0.3">
      <c r="A13" s="3" t="s">
        <v>25</v>
      </c>
      <c r="B13" s="16" t="s">
        <v>27</v>
      </c>
      <c r="C13" s="3">
        <v>4</v>
      </c>
      <c r="D13" s="16"/>
      <c r="E13" s="16"/>
      <c r="F13" s="16"/>
    </row>
    <row r="14" spans="1:6" ht="18" x14ac:dyDescent="0.3">
      <c r="A14" s="3" t="s">
        <v>25</v>
      </c>
      <c r="B14" s="16" t="s">
        <v>28</v>
      </c>
      <c r="C14" s="3">
        <v>2</v>
      </c>
      <c r="D14" s="16"/>
      <c r="E14" s="16"/>
      <c r="F14" s="16"/>
    </row>
    <row r="15" spans="1:6" ht="18" x14ac:dyDescent="0.3">
      <c r="A15" s="3" t="s">
        <v>25</v>
      </c>
      <c r="B15" s="16" t="s">
        <v>29</v>
      </c>
      <c r="C15" s="3">
        <v>0</v>
      </c>
      <c r="D15" s="16"/>
      <c r="E15" s="16"/>
      <c r="F15" s="16"/>
    </row>
    <row r="16" spans="1:6" ht="18" x14ac:dyDescent="0.3">
      <c r="A16" s="8">
        <v>2</v>
      </c>
      <c r="B16" s="20" t="s">
        <v>30</v>
      </c>
      <c r="C16" s="8"/>
      <c r="D16" s="20"/>
      <c r="E16" s="20"/>
      <c r="F16" s="20"/>
    </row>
    <row r="17" spans="1:6" ht="18" x14ac:dyDescent="0.3">
      <c r="A17" s="3" t="s">
        <v>25</v>
      </c>
      <c r="B17" s="16" t="s">
        <v>31</v>
      </c>
      <c r="C17" s="3">
        <v>5</v>
      </c>
      <c r="D17" s="16"/>
      <c r="E17" s="16"/>
      <c r="F17" s="16"/>
    </row>
    <row r="18" spans="1:6" ht="18" x14ac:dyDescent="0.3">
      <c r="A18" s="3" t="s">
        <v>25</v>
      </c>
      <c r="B18" s="16" t="s">
        <v>32</v>
      </c>
      <c r="C18" s="3">
        <v>4</v>
      </c>
      <c r="D18" s="16"/>
      <c r="E18" s="16"/>
      <c r="F18" s="16"/>
    </row>
    <row r="19" spans="1:6" ht="18" x14ac:dyDescent="0.3">
      <c r="A19" s="3" t="s">
        <v>25</v>
      </c>
      <c r="B19" s="16" t="s">
        <v>33</v>
      </c>
      <c r="C19" s="3">
        <v>2</v>
      </c>
      <c r="D19" s="16"/>
      <c r="E19" s="16"/>
      <c r="F19" s="16"/>
    </row>
    <row r="20" spans="1:6" ht="18" x14ac:dyDescent="0.3">
      <c r="A20" s="3" t="s">
        <v>25</v>
      </c>
      <c r="B20" s="16" t="s">
        <v>34</v>
      </c>
      <c r="C20" s="3">
        <v>0</v>
      </c>
      <c r="D20" s="16"/>
      <c r="E20" s="16"/>
      <c r="F20" s="16"/>
    </row>
    <row r="21" spans="1:6" ht="18" x14ac:dyDescent="0.3">
      <c r="A21" s="8">
        <v>3</v>
      </c>
      <c r="B21" s="20" t="s">
        <v>35</v>
      </c>
      <c r="C21" s="8"/>
      <c r="D21" s="20"/>
      <c r="E21" s="20"/>
      <c r="F21" s="20"/>
    </row>
    <row r="22" spans="1:6" ht="72" x14ac:dyDescent="0.3">
      <c r="A22" s="3" t="s">
        <v>25</v>
      </c>
      <c r="B22" s="6" t="s">
        <v>36</v>
      </c>
      <c r="C22" s="3">
        <v>5</v>
      </c>
      <c r="D22" s="16"/>
      <c r="E22" s="16"/>
      <c r="F22" s="16"/>
    </row>
    <row r="23" spans="1:6" ht="54" x14ac:dyDescent="0.3">
      <c r="A23" s="3" t="s">
        <v>25</v>
      </c>
      <c r="B23" s="6" t="s">
        <v>37</v>
      </c>
      <c r="C23" s="3">
        <v>3</v>
      </c>
      <c r="D23" s="16"/>
      <c r="E23" s="16"/>
      <c r="F23" s="16"/>
    </row>
    <row r="24" spans="1:6" ht="54" x14ac:dyDescent="0.3">
      <c r="A24" s="3" t="s">
        <v>25</v>
      </c>
      <c r="B24" s="6" t="s">
        <v>112</v>
      </c>
      <c r="C24" s="3">
        <v>0</v>
      </c>
      <c r="D24" s="16"/>
      <c r="E24" s="16"/>
      <c r="F24" s="16"/>
    </row>
    <row r="25" spans="1:6" ht="18" x14ac:dyDescent="0.3">
      <c r="A25" s="50" t="s">
        <v>38</v>
      </c>
      <c r="B25" s="50"/>
      <c r="C25" s="3"/>
      <c r="D25" s="16"/>
      <c r="E25" s="16"/>
      <c r="F25" s="16"/>
    </row>
    <row r="26" spans="1:6" ht="18" x14ac:dyDescent="0.3">
      <c r="A26" s="8">
        <v>1</v>
      </c>
      <c r="B26" s="20" t="s">
        <v>109</v>
      </c>
      <c r="C26" s="8"/>
      <c r="D26" s="20"/>
      <c r="E26" s="20"/>
      <c r="F26" s="20"/>
    </row>
    <row r="27" spans="1:6" ht="36" x14ac:dyDescent="0.3">
      <c r="A27" s="3" t="s">
        <v>25</v>
      </c>
      <c r="B27" s="6" t="s">
        <v>123</v>
      </c>
      <c r="C27" s="3">
        <v>10</v>
      </c>
      <c r="D27" s="16"/>
      <c r="E27" s="16"/>
      <c r="F27" s="16"/>
    </row>
    <row r="28" spans="1:6" ht="36" x14ac:dyDescent="0.3">
      <c r="A28" s="3" t="s">
        <v>25</v>
      </c>
      <c r="B28" s="6" t="s">
        <v>124</v>
      </c>
      <c r="C28" s="3">
        <v>7</v>
      </c>
      <c r="D28" s="16"/>
      <c r="E28" s="16"/>
      <c r="F28" s="16"/>
    </row>
    <row r="29" spans="1:6" ht="36" x14ac:dyDescent="0.3">
      <c r="A29" s="3" t="s">
        <v>25</v>
      </c>
      <c r="B29" s="6" t="s">
        <v>125</v>
      </c>
      <c r="C29" s="3">
        <v>4</v>
      </c>
      <c r="D29" s="16"/>
      <c r="E29" s="16"/>
      <c r="F29" s="16"/>
    </row>
    <row r="30" spans="1:6" ht="36" x14ac:dyDescent="0.3">
      <c r="A30" s="3" t="s">
        <v>25</v>
      </c>
      <c r="B30" s="6" t="s">
        <v>126</v>
      </c>
      <c r="C30" s="3">
        <v>0</v>
      </c>
      <c r="D30" s="16"/>
      <c r="E30" s="16"/>
      <c r="F30" s="16"/>
    </row>
    <row r="31" spans="1:6" ht="18" x14ac:dyDescent="0.3">
      <c r="A31" s="8">
        <v>2</v>
      </c>
      <c r="B31" s="20" t="s">
        <v>39</v>
      </c>
      <c r="C31" s="8"/>
      <c r="D31" s="20"/>
      <c r="E31" s="20"/>
      <c r="F31" s="20"/>
    </row>
    <row r="32" spans="1:6" ht="18" x14ac:dyDescent="0.3">
      <c r="A32" s="3" t="s">
        <v>25</v>
      </c>
      <c r="B32" s="16" t="s">
        <v>40</v>
      </c>
      <c r="C32" s="3">
        <v>5</v>
      </c>
      <c r="D32" s="16"/>
      <c r="E32" s="16"/>
      <c r="F32" s="16"/>
    </row>
    <row r="33" spans="1:6" ht="18" x14ac:dyDescent="0.3">
      <c r="A33" s="3" t="s">
        <v>25</v>
      </c>
      <c r="B33" s="16" t="s">
        <v>41</v>
      </c>
      <c r="C33" s="3">
        <v>3</v>
      </c>
      <c r="D33" s="16"/>
      <c r="E33" s="16"/>
      <c r="F33" s="16"/>
    </row>
    <row r="34" spans="1:6" ht="18" x14ac:dyDescent="0.3">
      <c r="A34" s="3" t="s">
        <v>25</v>
      </c>
      <c r="B34" s="16" t="s">
        <v>42</v>
      </c>
      <c r="C34" s="3">
        <v>0</v>
      </c>
      <c r="D34" s="16"/>
      <c r="E34" s="16"/>
      <c r="F34" s="16"/>
    </row>
    <row r="35" spans="1:6" ht="18" x14ac:dyDescent="0.3">
      <c r="A35" s="8">
        <v>3</v>
      </c>
      <c r="B35" s="20" t="s">
        <v>43</v>
      </c>
      <c r="C35" s="8"/>
      <c r="D35" s="16"/>
      <c r="E35" s="16"/>
      <c r="F35" s="16"/>
    </row>
    <row r="36" spans="1:6" ht="54" x14ac:dyDescent="0.3">
      <c r="A36" s="3" t="s">
        <v>25</v>
      </c>
      <c r="B36" s="6" t="s">
        <v>3</v>
      </c>
      <c r="C36" s="3">
        <v>5</v>
      </c>
      <c r="D36" s="16"/>
      <c r="E36" s="16"/>
      <c r="F36" s="16"/>
    </row>
    <row r="37" spans="1:6" ht="36" x14ac:dyDescent="0.35">
      <c r="A37" s="3" t="s">
        <v>25</v>
      </c>
      <c r="B37" s="4" t="s">
        <v>4</v>
      </c>
      <c r="C37" s="3">
        <v>2</v>
      </c>
      <c r="D37" s="16"/>
      <c r="E37" s="16"/>
      <c r="F37" s="16"/>
    </row>
    <row r="38" spans="1:6" ht="36" x14ac:dyDescent="0.35">
      <c r="A38" s="3" t="s">
        <v>25</v>
      </c>
      <c r="B38" s="7" t="s">
        <v>5</v>
      </c>
      <c r="C38" s="3">
        <v>0</v>
      </c>
      <c r="D38" s="16"/>
      <c r="E38" s="16"/>
      <c r="F38" s="16"/>
    </row>
    <row r="39" spans="1:6" ht="18" x14ac:dyDescent="0.3">
      <c r="A39" s="8" t="s">
        <v>44</v>
      </c>
      <c r="B39" s="20" t="s">
        <v>45</v>
      </c>
      <c r="C39" s="8"/>
      <c r="D39" s="20"/>
      <c r="E39" s="20"/>
      <c r="F39" s="20"/>
    </row>
    <row r="40" spans="1:6" ht="18" x14ac:dyDescent="0.3">
      <c r="A40" s="8">
        <v>1</v>
      </c>
      <c r="B40" s="20" t="s">
        <v>113</v>
      </c>
      <c r="C40" s="8"/>
      <c r="D40" s="20"/>
      <c r="E40" s="20"/>
      <c r="F40" s="20"/>
    </row>
    <row r="41" spans="1:6" ht="54" x14ac:dyDescent="0.3">
      <c r="A41" s="8" t="s">
        <v>25</v>
      </c>
      <c r="B41" s="6" t="s">
        <v>46</v>
      </c>
      <c r="C41" s="3">
        <v>3</v>
      </c>
      <c r="D41" s="20"/>
      <c r="E41" s="20"/>
      <c r="F41" s="20"/>
    </row>
    <row r="42" spans="1:6" ht="36" x14ac:dyDescent="0.3">
      <c r="A42" s="8" t="s">
        <v>25</v>
      </c>
      <c r="B42" s="6" t="s">
        <v>47</v>
      </c>
      <c r="C42" s="3">
        <v>1</v>
      </c>
      <c r="D42" s="20"/>
      <c r="E42" s="20"/>
      <c r="F42" s="20"/>
    </row>
    <row r="43" spans="1:6" ht="36" x14ac:dyDescent="0.3">
      <c r="A43" s="8" t="s">
        <v>25</v>
      </c>
      <c r="B43" s="6" t="s">
        <v>48</v>
      </c>
      <c r="C43" s="3">
        <v>0</v>
      </c>
      <c r="D43" s="20"/>
      <c r="E43" s="20"/>
      <c r="F43" s="20"/>
    </row>
    <row r="44" spans="1:6" ht="18" x14ac:dyDescent="0.3">
      <c r="A44" s="8">
        <v>2</v>
      </c>
      <c r="B44" s="21" t="s">
        <v>49</v>
      </c>
      <c r="C44" s="3"/>
      <c r="D44" s="20"/>
      <c r="E44" s="20"/>
      <c r="F44" s="20"/>
    </row>
    <row r="45" spans="1:6" ht="18" x14ac:dyDescent="0.3">
      <c r="A45" s="8" t="s">
        <v>25</v>
      </c>
      <c r="B45" s="6" t="s">
        <v>50</v>
      </c>
      <c r="C45" s="3">
        <v>3</v>
      </c>
      <c r="D45" s="20"/>
      <c r="E45" s="20"/>
      <c r="F45" s="20"/>
    </row>
    <row r="46" spans="1:6" ht="18" x14ac:dyDescent="0.3">
      <c r="A46" s="8" t="s">
        <v>25</v>
      </c>
      <c r="B46" s="6" t="s">
        <v>51</v>
      </c>
      <c r="C46" s="3">
        <v>1</v>
      </c>
      <c r="D46" s="20"/>
      <c r="E46" s="20"/>
      <c r="F46" s="20"/>
    </row>
    <row r="47" spans="1:6" ht="18" x14ac:dyDescent="0.3">
      <c r="A47" s="8" t="s">
        <v>25</v>
      </c>
      <c r="B47" s="6" t="s">
        <v>52</v>
      </c>
      <c r="C47" s="3">
        <v>0</v>
      </c>
      <c r="D47" s="20"/>
      <c r="E47" s="20"/>
      <c r="F47" s="20"/>
    </row>
    <row r="48" spans="1:6" ht="18" x14ac:dyDescent="0.3">
      <c r="A48" s="8">
        <v>3</v>
      </c>
      <c r="B48" s="21" t="s">
        <v>53</v>
      </c>
      <c r="C48" s="3"/>
      <c r="D48" s="20"/>
      <c r="E48" s="20"/>
      <c r="F48" s="20"/>
    </row>
    <row r="49" spans="1:6" ht="36" x14ac:dyDescent="0.3">
      <c r="A49" s="8" t="s">
        <v>25</v>
      </c>
      <c r="B49" s="6" t="s">
        <v>110</v>
      </c>
      <c r="C49" s="3">
        <v>4</v>
      </c>
      <c r="D49" s="20"/>
      <c r="E49" s="20"/>
      <c r="F49" s="20"/>
    </row>
    <row r="50" spans="1:6" ht="36" x14ac:dyDescent="0.3">
      <c r="A50" s="8"/>
      <c r="B50" s="6" t="s">
        <v>111</v>
      </c>
      <c r="C50" s="3">
        <v>2</v>
      </c>
      <c r="D50" s="20"/>
      <c r="E50" s="20"/>
      <c r="F50" s="20"/>
    </row>
    <row r="51" spans="1:6" ht="18" x14ac:dyDescent="0.3">
      <c r="A51" s="8" t="s">
        <v>25</v>
      </c>
      <c r="B51" s="6" t="s">
        <v>54</v>
      </c>
      <c r="C51" s="3">
        <v>0</v>
      </c>
      <c r="D51" s="20"/>
      <c r="E51" s="20"/>
      <c r="F51" s="20"/>
    </row>
    <row r="52" spans="1:6" ht="18" x14ac:dyDescent="0.3">
      <c r="A52" s="50" t="s">
        <v>127</v>
      </c>
      <c r="B52" s="50"/>
      <c r="C52" s="3"/>
      <c r="D52" s="16"/>
      <c r="E52" s="16"/>
      <c r="F52" s="16"/>
    </row>
    <row r="53" spans="1:6" ht="18" x14ac:dyDescent="0.3">
      <c r="A53" s="8">
        <v>1</v>
      </c>
      <c r="B53" s="22" t="s">
        <v>55</v>
      </c>
      <c r="C53" s="23"/>
      <c r="D53" s="24"/>
      <c r="E53" s="24"/>
      <c r="F53" s="24"/>
    </row>
    <row r="54" spans="1:6" ht="36" x14ac:dyDescent="0.3">
      <c r="A54" s="3" t="s">
        <v>25</v>
      </c>
      <c r="B54" s="6" t="s">
        <v>56</v>
      </c>
      <c r="C54" s="3">
        <v>10</v>
      </c>
      <c r="D54" s="16"/>
      <c r="E54" s="16"/>
      <c r="F54" s="16"/>
    </row>
    <row r="55" spans="1:6" ht="18" x14ac:dyDescent="0.3">
      <c r="A55" s="3" t="s">
        <v>25</v>
      </c>
      <c r="B55" s="6" t="s">
        <v>57</v>
      </c>
      <c r="C55" s="3">
        <v>5</v>
      </c>
      <c r="D55" s="16"/>
      <c r="E55" s="16"/>
      <c r="F55" s="16"/>
    </row>
    <row r="56" spans="1:6" ht="36" x14ac:dyDescent="0.3">
      <c r="A56" s="3" t="s">
        <v>25</v>
      </c>
      <c r="B56" s="6" t="s">
        <v>58</v>
      </c>
      <c r="C56" s="3">
        <v>0</v>
      </c>
      <c r="D56" s="16"/>
      <c r="E56" s="16"/>
      <c r="F56" s="16"/>
    </row>
    <row r="57" spans="1:6" ht="18" x14ac:dyDescent="0.3">
      <c r="A57" s="8">
        <v>2</v>
      </c>
      <c r="B57" s="20" t="s">
        <v>59</v>
      </c>
      <c r="C57" s="23"/>
      <c r="D57" s="24"/>
      <c r="E57" s="24"/>
      <c r="F57" s="24"/>
    </row>
    <row r="58" spans="1:6" ht="18" x14ac:dyDescent="0.3">
      <c r="A58" s="3" t="s">
        <v>25</v>
      </c>
      <c r="B58" s="16" t="s">
        <v>60</v>
      </c>
      <c r="C58" s="3">
        <v>5</v>
      </c>
      <c r="D58" s="16"/>
      <c r="E58" s="16"/>
      <c r="F58" s="16"/>
    </row>
    <row r="59" spans="1:6" ht="18" x14ac:dyDescent="0.3">
      <c r="A59" s="3" t="s">
        <v>25</v>
      </c>
      <c r="B59" s="16" t="s">
        <v>61</v>
      </c>
      <c r="C59" s="3">
        <v>2</v>
      </c>
      <c r="D59" s="16"/>
      <c r="E59" s="16"/>
      <c r="F59" s="16"/>
    </row>
    <row r="60" spans="1:6" ht="18" x14ac:dyDescent="0.3">
      <c r="A60" s="3" t="s">
        <v>25</v>
      </c>
      <c r="B60" s="16" t="s">
        <v>62</v>
      </c>
      <c r="C60" s="3">
        <v>0</v>
      </c>
      <c r="D60" s="16"/>
      <c r="E60" s="16"/>
      <c r="F60" s="16"/>
    </row>
    <row r="61" spans="1:6" ht="52.2" x14ac:dyDescent="0.3">
      <c r="A61" s="15" t="s">
        <v>63</v>
      </c>
      <c r="B61" s="25" t="s">
        <v>130</v>
      </c>
      <c r="C61" s="3"/>
      <c r="D61" s="16"/>
      <c r="E61" s="16"/>
      <c r="F61" s="16"/>
    </row>
    <row r="62" spans="1:6" ht="18" x14ac:dyDescent="0.3">
      <c r="A62" s="26">
        <v>3</v>
      </c>
      <c r="B62" s="25" t="s">
        <v>64</v>
      </c>
      <c r="C62" s="3"/>
      <c r="D62" s="16"/>
      <c r="E62" s="16"/>
      <c r="F62" s="16"/>
    </row>
    <row r="63" spans="1:6" ht="36" x14ac:dyDescent="0.3">
      <c r="A63" s="8" t="s">
        <v>25</v>
      </c>
      <c r="B63" s="6" t="s">
        <v>65</v>
      </c>
      <c r="C63" s="3">
        <v>5</v>
      </c>
      <c r="D63" s="20"/>
      <c r="E63" s="20"/>
      <c r="F63" s="20"/>
    </row>
    <row r="64" spans="1:6" ht="18" x14ac:dyDescent="0.3">
      <c r="A64" s="8" t="s">
        <v>25</v>
      </c>
      <c r="B64" s="6" t="s">
        <v>66</v>
      </c>
      <c r="C64" s="3">
        <v>0</v>
      </c>
      <c r="D64" s="16"/>
      <c r="E64" s="16"/>
      <c r="F64" s="16"/>
    </row>
    <row r="65" spans="1:6" ht="18" x14ac:dyDescent="0.3">
      <c r="A65" s="8" t="s">
        <v>67</v>
      </c>
      <c r="B65" s="20" t="s">
        <v>68</v>
      </c>
      <c r="C65" s="8"/>
      <c r="D65" s="20"/>
      <c r="E65" s="20"/>
      <c r="F65" s="20"/>
    </row>
    <row r="66" spans="1:6" ht="54" x14ac:dyDescent="0.3">
      <c r="A66" s="3" t="s">
        <v>25</v>
      </c>
      <c r="B66" s="6" t="s">
        <v>69</v>
      </c>
      <c r="C66" s="3">
        <v>5</v>
      </c>
      <c r="D66" s="16"/>
      <c r="E66" s="16"/>
      <c r="F66" s="16"/>
    </row>
    <row r="67" spans="1:6" ht="18" x14ac:dyDescent="0.3">
      <c r="A67" s="3" t="s">
        <v>25</v>
      </c>
      <c r="B67" s="16" t="s">
        <v>70</v>
      </c>
      <c r="C67" s="3">
        <v>0</v>
      </c>
      <c r="D67" s="16"/>
      <c r="E67" s="16"/>
      <c r="F67" s="16"/>
    </row>
    <row r="68" spans="1:6" ht="18" x14ac:dyDescent="0.3">
      <c r="A68" s="27" t="s">
        <v>71</v>
      </c>
      <c r="B68" s="27"/>
      <c r="C68" s="15"/>
      <c r="D68" s="16"/>
      <c r="E68" s="16"/>
      <c r="F68" s="16"/>
    </row>
    <row r="69" spans="1:6" ht="36" x14ac:dyDescent="0.3">
      <c r="A69" s="3" t="s">
        <v>25</v>
      </c>
      <c r="B69" s="28" t="s">
        <v>72</v>
      </c>
      <c r="C69" s="3">
        <v>3</v>
      </c>
      <c r="D69" s="16"/>
      <c r="E69" s="16"/>
      <c r="F69" s="16"/>
    </row>
    <row r="70" spans="1:6" ht="18" x14ac:dyDescent="0.3">
      <c r="A70" s="3" t="s">
        <v>25</v>
      </c>
      <c r="B70" s="29" t="s">
        <v>73</v>
      </c>
      <c r="C70" s="3">
        <v>3</v>
      </c>
      <c r="D70" s="16"/>
      <c r="E70" s="16"/>
      <c r="F70" s="16"/>
    </row>
    <row r="71" spans="1:6" ht="18" x14ac:dyDescent="0.3">
      <c r="A71" s="3" t="s">
        <v>25</v>
      </c>
      <c r="B71" s="29" t="s">
        <v>74</v>
      </c>
      <c r="C71" s="3">
        <v>3</v>
      </c>
      <c r="D71" s="16"/>
      <c r="E71" s="16"/>
      <c r="F71" s="16"/>
    </row>
    <row r="72" spans="1:6" ht="18" x14ac:dyDescent="0.3">
      <c r="A72" s="3" t="s">
        <v>25</v>
      </c>
      <c r="B72" s="29" t="s">
        <v>114</v>
      </c>
      <c r="C72" s="3">
        <v>3</v>
      </c>
      <c r="D72" s="16"/>
      <c r="E72" s="16"/>
      <c r="F72" s="16"/>
    </row>
    <row r="73" spans="1:6" ht="17.399999999999999" x14ac:dyDescent="0.3">
      <c r="A73" s="30" t="s">
        <v>75</v>
      </c>
      <c r="B73" s="31"/>
      <c r="C73" s="31"/>
      <c r="D73" s="31"/>
      <c r="E73" s="31"/>
      <c r="F73" s="32"/>
    </row>
    <row r="74" spans="1:6" ht="18" x14ac:dyDescent="0.3">
      <c r="A74" s="38" t="s">
        <v>129</v>
      </c>
      <c r="B74" s="38"/>
      <c r="C74" s="3"/>
      <c r="D74" s="16"/>
      <c r="E74" s="16"/>
      <c r="F74" s="16"/>
    </row>
    <row r="75" spans="1:6" ht="18" x14ac:dyDescent="0.3">
      <c r="A75" s="8">
        <v>1</v>
      </c>
      <c r="B75" s="20" t="s">
        <v>128</v>
      </c>
      <c r="C75" s="8"/>
      <c r="D75" s="20"/>
      <c r="E75" s="20"/>
      <c r="F75" s="20"/>
    </row>
    <row r="76" spans="1:6" ht="18" x14ac:dyDescent="0.3">
      <c r="A76" s="3" t="s">
        <v>25</v>
      </c>
      <c r="B76" s="16" t="s">
        <v>115</v>
      </c>
      <c r="C76" s="3">
        <v>5</v>
      </c>
      <c r="D76" s="16"/>
      <c r="E76" s="16"/>
      <c r="F76" s="16"/>
    </row>
    <row r="77" spans="1:6" ht="18" x14ac:dyDescent="0.3">
      <c r="A77" s="3" t="s">
        <v>25</v>
      </c>
      <c r="B77" s="16" t="s">
        <v>116</v>
      </c>
      <c r="C77" s="3">
        <v>4</v>
      </c>
      <c r="D77" s="16"/>
      <c r="E77" s="16"/>
      <c r="F77" s="16"/>
    </row>
    <row r="78" spans="1:6" ht="18" x14ac:dyDescent="0.3">
      <c r="A78" s="3" t="s">
        <v>25</v>
      </c>
      <c r="B78" s="16" t="s">
        <v>117</v>
      </c>
      <c r="C78" s="3">
        <v>2</v>
      </c>
      <c r="D78" s="16"/>
      <c r="E78" s="16"/>
      <c r="F78" s="16"/>
    </row>
    <row r="79" spans="1:6" ht="18" x14ac:dyDescent="0.3">
      <c r="A79" s="3" t="s">
        <v>25</v>
      </c>
      <c r="B79" s="16" t="s">
        <v>118</v>
      </c>
      <c r="C79" s="3">
        <v>0</v>
      </c>
      <c r="D79" s="16"/>
      <c r="E79" s="16"/>
      <c r="F79" s="16"/>
    </row>
    <row r="80" spans="1:6" ht="18" x14ac:dyDescent="0.3">
      <c r="A80" s="8">
        <v>2</v>
      </c>
      <c r="B80" s="20" t="s">
        <v>76</v>
      </c>
      <c r="C80" s="8"/>
      <c r="D80" s="20"/>
      <c r="E80" s="20"/>
      <c r="F80" s="20"/>
    </row>
    <row r="81" spans="1:6" ht="18" x14ac:dyDescent="0.3">
      <c r="A81" s="3" t="s">
        <v>25</v>
      </c>
      <c r="B81" s="16" t="s">
        <v>119</v>
      </c>
      <c r="C81" s="3">
        <v>5</v>
      </c>
      <c r="D81" s="16"/>
      <c r="E81" s="16"/>
      <c r="F81" s="16"/>
    </row>
    <row r="82" spans="1:6" ht="18" x14ac:dyDescent="0.3">
      <c r="A82" s="3" t="s">
        <v>25</v>
      </c>
      <c r="B82" s="16" t="s">
        <v>120</v>
      </c>
      <c r="C82" s="3">
        <v>3</v>
      </c>
      <c r="D82" s="16"/>
      <c r="E82" s="16"/>
      <c r="F82" s="16"/>
    </row>
    <row r="83" spans="1:6" ht="18" x14ac:dyDescent="0.3">
      <c r="A83" s="3" t="s">
        <v>25</v>
      </c>
      <c r="B83" s="16" t="s">
        <v>121</v>
      </c>
      <c r="C83" s="3">
        <v>0</v>
      </c>
      <c r="D83" s="16"/>
      <c r="E83" s="16"/>
      <c r="F83" s="16"/>
    </row>
    <row r="84" spans="1:6" ht="18" x14ac:dyDescent="0.35">
      <c r="A84" s="51" t="s">
        <v>77</v>
      </c>
      <c r="B84" s="51"/>
      <c r="C84" s="34"/>
      <c r="D84" s="2"/>
      <c r="E84" s="2"/>
      <c r="F84" s="2"/>
    </row>
    <row r="85" spans="1:6" ht="36" x14ac:dyDescent="0.35">
      <c r="A85" s="8">
        <v>1</v>
      </c>
      <c r="B85" s="35" t="s">
        <v>108</v>
      </c>
      <c r="C85" s="36"/>
      <c r="D85" s="5"/>
      <c r="E85" s="5"/>
      <c r="F85" s="5"/>
    </row>
    <row r="86" spans="1:6" ht="18" x14ac:dyDescent="0.35">
      <c r="A86" s="33" t="s">
        <v>25</v>
      </c>
      <c r="B86" s="9" t="s">
        <v>122</v>
      </c>
      <c r="C86" s="33">
        <v>15</v>
      </c>
      <c r="D86" s="2"/>
      <c r="E86" s="2"/>
      <c r="F86" s="2"/>
    </row>
    <row r="87" spans="1:6" ht="18" x14ac:dyDescent="0.35">
      <c r="A87" s="33" t="s">
        <v>25</v>
      </c>
      <c r="B87" s="9" t="s">
        <v>131</v>
      </c>
      <c r="C87" s="33">
        <v>10</v>
      </c>
      <c r="D87" s="2"/>
      <c r="E87" s="2"/>
      <c r="F87" s="2"/>
    </row>
    <row r="88" spans="1:6" ht="18" x14ac:dyDescent="0.35">
      <c r="A88" s="33" t="s">
        <v>25</v>
      </c>
      <c r="B88" s="9" t="s">
        <v>132</v>
      </c>
      <c r="C88" s="33">
        <v>5</v>
      </c>
      <c r="D88" s="2"/>
      <c r="E88" s="2"/>
      <c r="F88" s="2"/>
    </row>
    <row r="89" spans="1:6" ht="18" x14ac:dyDescent="0.35">
      <c r="A89" s="33" t="s">
        <v>25</v>
      </c>
      <c r="B89" s="9" t="s">
        <v>133</v>
      </c>
      <c r="C89" s="33">
        <v>0</v>
      </c>
      <c r="D89" s="2"/>
      <c r="E89" s="2"/>
      <c r="F89" s="2"/>
    </row>
    <row r="90" spans="1:6" ht="18" x14ac:dyDescent="0.35">
      <c r="A90" s="36">
        <v>2</v>
      </c>
      <c r="B90" s="11" t="s">
        <v>78</v>
      </c>
      <c r="C90" s="36"/>
      <c r="D90" s="5"/>
      <c r="E90" s="5"/>
      <c r="F90" s="5"/>
    </row>
    <row r="91" spans="1:6" ht="18" x14ac:dyDescent="0.35">
      <c r="A91" s="33" t="s">
        <v>25</v>
      </c>
      <c r="B91" s="9" t="s">
        <v>79</v>
      </c>
      <c r="C91" s="33">
        <v>5</v>
      </c>
      <c r="D91" s="2"/>
      <c r="E91" s="2"/>
      <c r="F91" s="2"/>
    </row>
    <row r="92" spans="1:6" ht="18" x14ac:dyDescent="0.35">
      <c r="A92" s="33" t="s">
        <v>25</v>
      </c>
      <c r="B92" s="9" t="s">
        <v>80</v>
      </c>
      <c r="C92" s="33">
        <v>3</v>
      </c>
      <c r="D92" s="2"/>
      <c r="E92" s="2"/>
      <c r="F92" s="2"/>
    </row>
    <row r="93" spans="1:6" ht="18" x14ac:dyDescent="0.35">
      <c r="A93" s="33" t="s">
        <v>25</v>
      </c>
      <c r="B93" s="9" t="s">
        <v>81</v>
      </c>
      <c r="C93" s="33">
        <v>0</v>
      </c>
      <c r="D93" s="2"/>
      <c r="E93" s="2"/>
      <c r="F93" s="2"/>
    </row>
    <row r="94" spans="1:6" ht="18" x14ac:dyDescent="0.35">
      <c r="A94" s="33"/>
      <c r="B94" s="37" t="s">
        <v>82</v>
      </c>
      <c r="C94" s="33"/>
      <c r="D94" s="2">
        <f>SUM(D11:D72,D74:D93)</f>
        <v>0</v>
      </c>
      <c r="E94" s="2">
        <f>SUM(E11:E72,E74:E93)</f>
        <v>0</v>
      </c>
      <c r="F94" s="2">
        <f>SUM(F11:F72,F74:F93)</f>
        <v>0</v>
      </c>
    </row>
    <row r="95" spans="1:6" ht="18" x14ac:dyDescent="0.35">
      <c r="A95" s="33"/>
      <c r="B95" s="37" t="s">
        <v>6</v>
      </c>
      <c r="C95" s="33"/>
      <c r="D95" s="2"/>
      <c r="E95" s="48">
        <f>SUM(E94:F94)/2</f>
        <v>0</v>
      </c>
      <c r="F95" s="48"/>
    </row>
    <row r="96" spans="1:6" ht="18" x14ac:dyDescent="0.35">
      <c r="A96" s="33"/>
      <c r="B96" s="37" t="s">
        <v>7</v>
      </c>
      <c r="C96" s="33"/>
      <c r="D96" s="2" t="str">
        <f>IF(D94&gt;=90,"Xuất sắc",IF(D94&gt;=80,"Tốt",IF( D94&gt;=65,"Khá",IF(D94&lt;65,"Chưa đạt"))))</f>
        <v>Chưa đạt</v>
      </c>
      <c r="E96" s="48" t="str">
        <f>IF(E95&gt;=90,"Xuất sắc",IF(E95&gt;=80,"Tốt",IF( E95&gt;=65,"Khá",IF(E95&lt;65,"Chưa đạt"))))</f>
        <v>Chưa đạt</v>
      </c>
      <c r="F96" s="48"/>
    </row>
    <row r="97" spans="1:6" ht="17.399999999999999" x14ac:dyDescent="0.3">
      <c r="A97" s="52" t="s">
        <v>83</v>
      </c>
      <c r="B97" s="53"/>
      <c r="C97" s="53"/>
      <c r="D97" s="53"/>
      <c r="E97" s="53"/>
      <c r="F97" s="54"/>
    </row>
    <row r="98" spans="1:6" ht="17.399999999999999" x14ac:dyDescent="0.3">
      <c r="A98" s="44" t="s">
        <v>84</v>
      </c>
      <c r="B98" s="45"/>
      <c r="C98" s="15"/>
      <c r="D98" s="38"/>
      <c r="E98" s="38"/>
      <c r="F98" s="38"/>
    </row>
    <row r="99" spans="1:6" ht="34.799999999999997" x14ac:dyDescent="0.3">
      <c r="A99" s="39" t="s">
        <v>85</v>
      </c>
      <c r="B99" s="39" t="s">
        <v>86</v>
      </c>
      <c r="C99" s="39" t="s">
        <v>87</v>
      </c>
      <c r="D99" s="25"/>
      <c r="E99" s="25"/>
      <c r="F99" s="25"/>
    </row>
    <row r="100" spans="1:6" ht="54" x14ac:dyDescent="0.3">
      <c r="A100" s="10" t="s">
        <v>8</v>
      </c>
      <c r="B100" s="10" t="s">
        <v>88</v>
      </c>
      <c r="C100" s="10" t="s">
        <v>9</v>
      </c>
      <c r="D100" s="6"/>
      <c r="E100" s="6"/>
      <c r="F100" s="6"/>
    </row>
    <row r="101" spans="1:6" ht="36" x14ac:dyDescent="0.3">
      <c r="A101" s="10" t="s">
        <v>89</v>
      </c>
      <c r="B101" s="10" t="s">
        <v>10</v>
      </c>
      <c r="C101" s="10" t="s">
        <v>90</v>
      </c>
      <c r="D101" s="6"/>
      <c r="E101" s="6"/>
      <c r="F101" s="6"/>
    </row>
    <row r="102" spans="1:6" ht="18" x14ac:dyDescent="0.3">
      <c r="A102" s="10" t="s">
        <v>91</v>
      </c>
      <c r="B102" s="10" t="s">
        <v>11</v>
      </c>
      <c r="C102" s="10" t="s">
        <v>92</v>
      </c>
      <c r="D102" s="6"/>
      <c r="E102" s="6"/>
      <c r="F102" s="6"/>
    </row>
    <row r="103" spans="1:6" ht="36" x14ac:dyDescent="0.3">
      <c r="A103" s="10" t="s">
        <v>12</v>
      </c>
      <c r="B103" s="10" t="s">
        <v>13</v>
      </c>
      <c r="C103" s="10" t="s">
        <v>93</v>
      </c>
      <c r="D103" s="6"/>
      <c r="E103" s="6"/>
      <c r="F103" s="6"/>
    </row>
    <row r="104" spans="1:6" ht="18" x14ac:dyDescent="0.35">
      <c r="A104" s="33"/>
      <c r="B104" s="2"/>
      <c r="C104" s="33"/>
      <c r="D104" s="2"/>
      <c r="E104" s="2"/>
      <c r="F104" s="2"/>
    </row>
    <row r="105" spans="1:6" ht="17.399999999999999" x14ac:dyDescent="0.3">
      <c r="A105" s="55" t="s">
        <v>94</v>
      </c>
      <c r="B105" s="56"/>
      <c r="C105" s="56"/>
      <c r="D105" s="56"/>
      <c r="E105" s="56"/>
      <c r="F105" s="57"/>
    </row>
    <row r="106" spans="1:6" ht="18" x14ac:dyDescent="0.35">
      <c r="A106" s="33">
        <v>1</v>
      </c>
      <c r="B106" s="2" t="s">
        <v>95</v>
      </c>
      <c r="C106" s="33"/>
      <c r="D106" s="2"/>
      <c r="E106" s="2"/>
      <c r="F106" s="2"/>
    </row>
    <row r="107" spans="1:6" ht="18" x14ac:dyDescent="0.35">
      <c r="A107" s="33">
        <v>2</v>
      </c>
      <c r="B107" s="2" t="s">
        <v>96</v>
      </c>
      <c r="C107" s="33"/>
      <c r="D107" s="2"/>
      <c r="E107" s="2"/>
      <c r="F107" s="2"/>
    </row>
    <row r="108" spans="1:6" ht="18" x14ac:dyDescent="0.35">
      <c r="A108" s="33">
        <v>3</v>
      </c>
      <c r="B108" s="2" t="s">
        <v>97</v>
      </c>
      <c r="C108" s="33"/>
      <c r="D108" s="2"/>
      <c r="E108" s="2"/>
      <c r="F108" s="2"/>
    </row>
    <row r="109" spans="1:6" ht="18" x14ac:dyDescent="0.35">
      <c r="A109" s="33">
        <v>4</v>
      </c>
      <c r="B109" s="2" t="s">
        <v>98</v>
      </c>
      <c r="C109" s="33"/>
      <c r="D109" s="2"/>
      <c r="E109" s="2"/>
      <c r="F109" s="2"/>
    </row>
    <row r="110" spans="1:6" ht="18" x14ac:dyDescent="0.35">
      <c r="A110" s="33"/>
      <c r="B110" s="2"/>
      <c r="C110" s="33"/>
      <c r="D110" s="2"/>
      <c r="E110" s="2"/>
      <c r="F110" s="2"/>
    </row>
    <row r="111" spans="1:6" ht="17.399999999999999" x14ac:dyDescent="0.3">
      <c r="A111" s="55" t="s">
        <v>99</v>
      </c>
      <c r="B111" s="56"/>
      <c r="C111" s="56"/>
      <c r="D111" s="56"/>
      <c r="E111" s="56"/>
      <c r="F111" s="57"/>
    </row>
    <row r="112" spans="1:6" ht="18" x14ac:dyDescent="0.35">
      <c r="A112" s="33">
        <v>1</v>
      </c>
      <c r="B112" s="2" t="s">
        <v>100</v>
      </c>
      <c r="C112" s="33"/>
      <c r="D112" s="2"/>
      <c r="E112" s="2"/>
      <c r="F112" s="2"/>
    </row>
    <row r="113" spans="1:6" ht="18" x14ac:dyDescent="0.35">
      <c r="A113" s="33">
        <v>2</v>
      </c>
      <c r="B113" s="2" t="s">
        <v>101</v>
      </c>
      <c r="C113" s="33"/>
      <c r="D113" s="2"/>
      <c r="E113" s="2"/>
      <c r="F113" s="2"/>
    </row>
    <row r="114" spans="1:6" ht="18" x14ac:dyDescent="0.35">
      <c r="A114" s="33"/>
      <c r="B114" s="2"/>
      <c r="C114" s="33"/>
      <c r="D114" s="2"/>
      <c r="E114" s="2"/>
      <c r="F114" s="2"/>
    </row>
    <row r="115" spans="1:6" ht="17.399999999999999" x14ac:dyDescent="0.3">
      <c r="A115" s="55" t="s">
        <v>102</v>
      </c>
      <c r="B115" s="56"/>
      <c r="C115" s="56"/>
      <c r="D115" s="56"/>
      <c r="E115" s="56"/>
      <c r="F115" s="57"/>
    </row>
    <row r="116" spans="1:6" ht="18" x14ac:dyDescent="0.35">
      <c r="A116" s="33">
        <v>1</v>
      </c>
      <c r="B116" s="2" t="s">
        <v>103</v>
      </c>
      <c r="C116" s="33"/>
      <c r="D116" s="2"/>
      <c r="E116" s="2"/>
      <c r="F116" s="2"/>
    </row>
    <row r="117" spans="1:6" ht="18" x14ac:dyDescent="0.35">
      <c r="A117" s="33">
        <v>2</v>
      </c>
      <c r="B117" s="2" t="s">
        <v>104</v>
      </c>
      <c r="C117" s="33"/>
      <c r="D117" s="2"/>
      <c r="E117" s="2"/>
      <c r="F117" s="2"/>
    </row>
    <row r="118" spans="1:6" ht="18" x14ac:dyDescent="0.35">
      <c r="A118" s="33">
        <v>3</v>
      </c>
      <c r="B118" s="2" t="s">
        <v>105</v>
      </c>
      <c r="C118" s="33"/>
      <c r="D118" s="2"/>
      <c r="E118" s="2"/>
      <c r="F118" s="2"/>
    </row>
    <row r="119" spans="1:6" ht="18" x14ac:dyDescent="0.35">
      <c r="A119" s="33">
        <v>4</v>
      </c>
      <c r="B119" s="2" t="s">
        <v>106</v>
      </c>
      <c r="C119" s="33"/>
      <c r="D119" s="2"/>
      <c r="E119" s="2"/>
      <c r="F119" s="2"/>
    </row>
    <row r="120" spans="1:6" ht="18" x14ac:dyDescent="0.35">
      <c r="A120" s="33">
        <v>5</v>
      </c>
      <c r="B120" s="2" t="s">
        <v>107</v>
      </c>
      <c r="C120" s="33"/>
      <c r="D120" s="2"/>
      <c r="E120" s="2"/>
      <c r="F120" s="2"/>
    </row>
    <row r="124" spans="1:6" ht="18" x14ac:dyDescent="0.35">
      <c r="C124" s="40"/>
      <c r="E124" s="1"/>
    </row>
  </sheetData>
  <mergeCells count="22">
    <mergeCell ref="A97:F97"/>
    <mergeCell ref="A98:B98"/>
    <mergeCell ref="A105:F105"/>
    <mergeCell ref="A111:F111"/>
    <mergeCell ref="A115:F115"/>
    <mergeCell ref="E96:F96"/>
    <mergeCell ref="A8:A9"/>
    <mergeCell ref="B8:B9"/>
    <mergeCell ref="C8:C9"/>
    <mergeCell ref="D8:D9"/>
    <mergeCell ref="E8:F8"/>
    <mergeCell ref="A10:B10"/>
    <mergeCell ref="A25:B25"/>
    <mergeCell ref="A52:B52"/>
    <mergeCell ref="A84:B84"/>
    <mergeCell ref="E95:F95"/>
    <mergeCell ref="A7:F7"/>
    <mergeCell ref="B1:D1"/>
    <mergeCell ref="A3:F3"/>
    <mergeCell ref="A4:B4"/>
    <mergeCell ref="A5:B5"/>
    <mergeCell ref="A6:B6"/>
  </mergeCells>
  <pageMargins left="0.7" right="0.7" top="0.75" bottom="0.75" header="0.3" footer="0.3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ĐD-KTV-HS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Hoàng Minh Nhật</cp:lastModifiedBy>
  <cp:lastPrinted>2026-04-01T08:30:58Z</cp:lastPrinted>
  <dcterms:created xsi:type="dcterms:W3CDTF">2026-03-29T02:09:37Z</dcterms:created>
  <dcterms:modified xsi:type="dcterms:W3CDTF">2026-05-06T01:22:43Z</dcterms:modified>
</cp:coreProperties>
</file>